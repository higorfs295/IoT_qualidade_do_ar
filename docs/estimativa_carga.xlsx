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726cffbd446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missas" sheetId="1" r:id="Rd508a8212fc84363"/>
    <x:sheet xmlns:r="http://schemas.openxmlformats.org/officeDocument/2006/relationships" name="Cenarios" sheetId="2" r:id="Reb434b8a446c4102"/>
    <x:sheet xmlns:r="http://schemas.openxmlformats.org/officeDocument/2006/relationships" name="Capacidade" sheetId="3" r:id="Raf8ee1985309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0"/>
    <x:numFmt numFmtId="202" formatCode="#,##0.000"/>
    <x:numFmt numFmtId="203" formatCode="0%"/>
    <x:numFmt numFmtId="204" formatCode="0.0%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212B"/>
      <x:name val="Carlito"/>
    </x:font>
    <x:font>
      <x:b/>
      <x:sz val="11"/>
      <x:color rgb="FF12304A"/>
      <x:name val="Carlito"/>
    </x:font>
    <x:font>
      <x:sz val="11"/>
      <x:color rgb="FF52606D"/>
      <x:name val="Carlito"/>
    </x:font>
    <x:font>
      <x:b/>
      <x:sz val="10"/>
      <x:color rgb="FF17212B"/>
      <x:name val="Aptos"/>
    </x:font>
    <x:font>
      <x:b/>
      <x:sz val="16"/>
      <x:color rgb="FFFFFFFF"/>
      <x:name val="Aptos Display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9"/>
      <x:color rgb="FF52606D"/>
      <x:name val="Carlito"/>
    </x:font>
    <x:font>
      <x:b/>
      <x:sz val="9"/>
      <x:color rgb="FF1230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E8F3F5"/>
      </x:patternFill>
    </x:fill>
    <x:fill>
      <x:patternFill patternType="solid">
        <x:fgColor rgb="FFF8FAFC"/>
      </x:patternFill>
    </x:fill>
  </x:fills>
  <x:borders count="1">
    <x:border/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0" fontId="0" fillId="4" borderId="0" xfId="0" applyNumberFormat="1" applyFont="1" applyFill="1" applyBorder="1"/>
    <x:xf numFmtId="201" fontId="0" fillId="5" borderId="0" xfId="0" applyNumberFormat="1" applyFont="1" applyFill="1" applyBorder="1"/>
    <x:xf numFmtId="20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 wrapText="1"/>
    </x:xf>
    <x:xf numFmtId="200" fontId="8" fillId="4" borderId="0" xfId="0" applyNumberFormat="1" applyFont="1" applyFill="1" applyBorder="1"/>
    <x:xf numFmtId="201" fontId="8" fillId="5" borderId="0" xfId="0" applyNumberFormat="1" applyFont="1" applyFill="1" applyBorder="1"/>
    <x:xf numFmtId="200" fontId="8" fillId="5" borderId="0" xfId="0" applyNumberFormat="1" applyFont="1" applyFill="1" applyBorder="1"/>
    <x:xf numFmtId="202" fontId="8" fillId="5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1" fillId="6" borderId="0" xfId="0" applyNumberFormat="1" applyFont="1" applyFill="1" applyBorder="1"/>
    <x:xf numFmtId="0" fontId="6" fillId="3" borderId="0" xfId="0" applyNumberFormat="1" applyFont="1" applyFill="1" applyBorder="1"/>
    <x:xf numFmtId="0" fontId="8" fillId="0" borderId="0" xfId="0" applyNumberFormat="1" applyFont="1" applyFill="1" applyBorder="1"/>
    <x:xf numFmtId="0" fontId="6" fillId="4" borderId="0" xfId="0" applyNumberFormat="1" applyFont="1" applyFill="1" applyBorder="1"/>
    <x:xf numFmtId="0" fontId="6" fillId="5" borderId="0" xfId="0" applyNumberFormat="1" applyFont="1" applyFill="1" applyBorder="1"/>
    <x:xf numFmtId="0" fontId="9" fillId="3" borderId="0" xfId="0" applyNumberFormat="1" applyFont="1" applyFill="1" applyBorder="1"/>
    <x:xf numFmtId="200" fontId="6" fillId="4" borderId="0" xfId="0" applyNumberFormat="1" applyFont="1" applyFill="1" applyBorder="1"/>
    <x:xf numFmtId="203" fontId="6" fillId="4" borderId="0" xfId="0" applyNumberFormat="1" applyFont="1" applyFill="1" applyBorder="1"/>
    <x:xf numFmtId="201" fontId="6" fillId="5" borderId="0" xfId="0" applyNumberFormat="1" applyFont="1" applyFill="1" applyBorder="1"/>
    <x:xf numFmtId="204" fontId="6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4f49f0b034675" /><Relationship Type="http://schemas.openxmlformats.org/officeDocument/2006/relationships/theme" Target="/xl/theme/theme1.xml" Id="Re49bfa202ea840ae" /><Relationship Type="http://schemas.openxmlformats.org/officeDocument/2006/relationships/sharedStrings" Target="/xl/sharedStrings.xml" Id="Rac3e88dffef4453d" /><Relationship Type="http://schemas.openxmlformats.org/officeDocument/2006/relationships/worksheet" Target="/xl/worksheets/sheet1.xml" Id="Rd508a8212fc84363" /><Relationship Type="http://schemas.openxmlformats.org/officeDocument/2006/relationships/worksheet" Target="/xl/worksheets/sheet2.xml" Id="Reb434b8a446c4102" /><Relationship Type="http://schemas.openxmlformats.org/officeDocument/2006/relationships/worksheet" Target="/xl/worksheets/sheet3.xml" Id="Raf8ee19853094a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8683f5108e43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Média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'Cenarios'!$K$4:$K$7</c:f>
              <c:strCache>
                <c:ptCount val="0"/>
              </c:strCache>
            </c:strRef>
          </c:cat>
          <c:val>
            <c:numRef>
              <c:f>'Cenarios'!$L$4:$L$7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Pico 2x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'Cenarios'!$K$4:$K$7</c:f>
              <c:strCache>
                <c:ptCount val="0"/>
              </c:strCache>
            </c:strRef>
          </c:cat>
          <c:val>
            <c:numRef>
              <c:f>'Cenarios'!$M$4:$M$7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8</xdr:row>
      <xdr:rowOff>0</xdr:rowOff>
    </xdr:from>
    <xdr:to>
      <xdr:col>19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8683f5108e434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828fd46f95144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4" hidden="0" customWidth="1"/>
    <x:col min="4" max="4" width="52" hidden="0" customWidth="1"/>
  </x:cols>
  <x:sheetData>
    <x:row r="1" ht="30" customHeight="1">
      <x:c r="A1" s="16" t="str">
        <x:v>Estimativa de carga - premissas editáveis</x:v>
      </x:c>
      <x:c r="B1" s="16"/>
      <x:c r="C1" s="16"/>
      <x:c r="D1" s="16"/>
    </x:row>
    <x:row r="3">
      <x:c r="A3" s="6" t="str">
        <x:v>Parâmetro</x:v>
      </x:c>
      <x:c r="B3" s="6" t="str">
        <x:v>Valor</x:v>
      </x:c>
      <x:c r="C3" s="6" t="str">
        <x:v>Unidade</x:v>
      </x:c>
      <x:c r="D3" s="6" t="str">
        <x:v>Observação</x:v>
      </x:c>
    </x:row>
    <x:row r="4">
      <x:c r="A4" s="10" t="str">
        <x:v>Intervalo de publicação</x:v>
      </x:c>
      <x:c r="B4" s="9" t="n">
        <x:v>60</x:v>
      </x:c>
      <x:c r="C4" s="10" t="str">
        <x:v>s</x:v>
      </x:c>
      <x:c r="D4" s="10" t="str">
        <x:v>Uma mensagem consolidada por dispositivo</x:v>
      </x:c>
    </x:row>
    <x:row r="5">
      <x:c r="A5" s="10" t="str">
        <x:v>Payload médio</x:v>
      </x:c>
      <x:c r="B5" s="9" t="n">
        <x:v>470</x:v>
      </x:c>
      <x:c r="C5" s="10" t="str">
        <x:v>bytes</x:v>
      </x:c>
      <x:c r="D5" s="10" t="str">
        <x:v>Premissa; medir no tráfego real</x:v>
      </x:c>
    </x:row>
    <x:row r="6">
      <x:c r="A6" s="10" t="str">
        <x:v>Fator de pico</x:v>
      </x:c>
      <x:c r="B6" s="9" t="n">
        <x:v>2</x:v>
      </x:c>
      <x:c r="C6" s="10" t="str">
        <x:v>x média</x:v>
      </x:c>
      <x:c r="D6" s="10" t="str">
        <x:v>Margem para rajadas e reconexões</x:v>
      </x:c>
    </x:row>
    <x:row r="7">
      <x:c r="A7" s="10" t="str">
        <x:v>Dias por mês</x:v>
      </x:c>
      <x:c r="B7" s="9" t="n">
        <x:v>30</x:v>
      </x:c>
      <x:c r="C7" s="10" t="str">
        <x:v>dias</x:v>
      </x:c>
      <x:c r="D7" s="10" t="str">
        <x:v>Usado apenas na projeção mensal</x:v>
      </x:c>
    </x:row>
    <x:row r="8">
      <x:c r="A8" s="10" t="str">
        <x:v>Retenção operacional</x:v>
      </x:c>
      <x:c r="B8" s="9" t="n">
        <x:v>30</x:v>
      </x:c>
      <x:c r="C8" s="10" t="str">
        <x:v>dias</x:v>
      </x:c>
      <x:c r="D8" s="10" t="str">
        <x:v>Não inclui agregados, backup ou data lake</x:v>
      </x:c>
    </x:row>
    <x:row r="10">
      <x:c r="A10" s="12" t="str">
        <x:v>Escopo</x:v>
      </x:c>
      <x:c r="B10" s="12"/>
      <x:c r="C10" s="12"/>
      <x:c r="D10" s="12"/>
    </x:row>
    <x:row r="11" ht="34" customHeight="1">
      <x:c r="A11" s="14" t="str">
        <x:v>GB decimal; não inclui TCP/TLS/MQTT, índices, WAL, réplicas, compressão, backups nem consultas.</x:v>
      </x:c>
      <x:c r="B11" s="14"/>
      <x:c r="C11" s="14"/>
      <x:c r="D11" s="14"/>
    </x:row>
    <x:row r="12" ht="34" customHeight="1">
      <x:c r="A12" s="14" t="str">
        <x:v>Entradas amarelas são editáveis. Fórmulas permanecem nas demais abas para auditoria.</x:v>
      </x:c>
      <x:c r="B12" s="14"/>
      <x:c r="C12" s="14"/>
      <x:c r="D12" s="14"/>
    </x:row>
  </x:sheetData>
  <x:mergeCells>
    <x:mergeCell ref="A1:D1"/>
    <x:mergeCell ref="A10:D10"/>
    <x:mergeCell ref="A11:D11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0" customHeight="1">
      <x:c r="A1" s="16" t="str">
        <x:v>Cenários de volumetria</x:v>
      </x:c>
      <x:c r="B1" s="16"/>
      <x:c r="C1" s="16"/>
      <x:c r="D1" s="16"/>
      <x:c r="E1" s="16"/>
      <x:c r="F1" s="16"/>
      <x:c r="G1" s="16"/>
      <x:c r="H1" s="16"/>
      <x:c r="I1" s="16"/>
    </x:row>
    <x:row r="3" ht="34" customHeight="1">
      <x:c r="A3" s="30" t="str">
        <x:v>Dispositivos</x:v>
      </x:c>
      <x:c r="B3" s="30" t="str">
        <x:v>Intervalo (s)</x:v>
      </x:c>
      <x:c r="C3" s="30" t="str">
        <x:v>Payload (B)</x:v>
      </x:c>
      <x:c r="D3" s="30" t="str">
        <x:v>Média (msg/s)</x:v>
      </x:c>
      <x:c r="E3" s="30" t="str">
        <x:v>Pico (msg/s)</x:v>
      </x:c>
      <x:c r="F3" s="30" t="str">
        <x:v>Mensagens/dia</x:v>
      </x:c>
      <x:c r="G3" s="30" t="str">
        <x:v>GB/dia</x:v>
      </x:c>
      <x:c r="H3" s="30" t="str">
        <x:v>GB/mês</x:v>
      </x:c>
      <x:c r="I3" s="30" t="str">
        <x:v>Mbit/s payload</x:v>
      </x:c>
      <x:c r="K3" s="33" t="str">
        <x:f>A3</x:f>
        <x:v>Dispositivos</x:v>
      </x:c>
      <x:c r="L3" s="33" t="str">
        <x:f>D3</x:f>
        <x:v>Média (msg/s)</x:v>
      </x:c>
      <x:c r="M3" s="33" t="str">
        <x:f>E3</x:f>
        <x:v>Pico (msg/s)</x:v>
      </x:c>
    </x:row>
    <x:row r="4">
      <x:c r="A4" s="26" t="n">
        <x:v>5000</x:v>
      </x:c>
      <x:c r="B4" s="26" t="n">
        <x:f>'Premissas'!$B$4</x:f>
        <x:v>60</x:v>
      </x:c>
      <x:c r="C4" s="26" t="n">
        <x:f>'Premissas'!$B$5</x:f>
        <x:v>470</x:v>
      </x:c>
      <x:c r="D4" s="27" t="n">
        <x:f>A4/B4</x:f>
        <x:v>83.33333333333333</x:v>
      </x:c>
      <x:c r="E4" s="27" t="n">
        <x:f>D4*'Premissas'!$B$6</x:f>
        <x:v>166.66666666666666</x:v>
      </x:c>
      <x:c r="F4" s="28" t="n">
        <x:f>A4*86400/B4</x:f>
        <x:v>7200000</x:v>
      </x:c>
      <x:c r="G4" s="29" t="n">
        <x:f>F4*C4/1000000000</x:f>
        <x:v>3.384</x:v>
      </x:c>
      <x:c r="H4" s="29" t="n">
        <x:f>G4*'Premissas'!$B$7</x:f>
        <x:v>101.52</x:v>
      </x:c>
      <x:c r="I4" s="29" t="n">
        <x:f>D4*C4*8/1000000</x:f>
        <x:v>0.3133333333333333</x:v>
      </x:c>
      <x:c r="K4" s="32" t="n">
        <x:f>A4</x:f>
        <x:v>5000</x:v>
      </x:c>
      <x:c r="L4" s="32" t="n">
        <x:f>D4</x:f>
        <x:v>83.33333333333333</x:v>
      </x:c>
      <x:c r="M4" s="32" t="n">
        <x:f>E4</x:f>
        <x:v>166.66666666666666</x:v>
      </x:c>
    </x:row>
    <x:row r="5">
      <x:c r="A5" s="26" t="n">
        <x:v>10000</x:v>
      </x:c>
      <x:c r="B5" s="26" t="n">
        <x:f>'Premissas'!$B$4</x:f>
        <x:v>60</x:v>
      </x:c>
      <x:c r="C5" s="26" t="n">
        <x:f>'Premissas'!$B$5</x:f>
        <x:v>470</x:v>
      </x:c>
      <x:c r="D5" s="27" t="n">
        <x:f>A5/B5</x:f>
        <x:v>166.66666666666666</x:v>
      </x:c>
      <x:c r="E5" s="27" t="n">
        <x:f>D5*'Premissas'!$B$6</x:f>
        <x:v>333.3333333333333</x:v>
      </x:c>
      <x:c r="F5" s="28" t="n">
        <x:f>A5*86400/B5</x:f>
        <x:v>14400000</x:v>
      </x:c>
      <x:c r="G5" s="29" t="n">
        <x:f>F5*C5/1000000000</x:f>
        <x:v>6.768</x:v>
      </x:c>
      <x:c r="H5" s="29" t="n">
        <x:f>G5*'Premissas'!$B$7</x:f>
        <x:v>203.04</x:v>
      </x:c>
      <x:c r="I5" s="29" t="n">
        <x:f>D5*C5*8/1000000</x:f>
        <x:v>0.6266666666666666</x:v>
      </x:c>
      <x:c r="K5" s="32" t="n">
        <x:f>A5</x:f>
        <x:v>10000</x:v>
      </x:c>
      <x:c r="L5" s="32" t="n">
        <x:f>D5</x:f>
        <x:v>166.66666666666666</x:v>
      </x:c>
      <x:c r="M5" s="32" t="n">
        <x:f>E5</x:f>
        <x:v>333.3333333333333</x:v>
      </x:c>
    </x:row>
    <x:row r="6">
      <x:c r="A6" s="26" t="n">
        <x:v>50000</x:v>
      </x:c>
      <x:c r="B6" s="26" t="n">
        <x:f>'Premissas'!$B$4</x:f>
        <x:v>60</x:v>
      </x:c>
      <x:c r="C6" s="26" t="n">
        <x:f>'Premissas'!$B$5</x:f>
        <x:v>470</x:v>
      </x:c>
      <x:c r="D6" s="27" t="n">
        <x:f>A6/B6</x:f>
        <x:v>833.3333333333334</x:v>
      </x:c>
      <x:c r="E6" s="27" t="n">
        <x:f>D6*'Premissas'!$B$6</x:f>
        <x:v>1666.6666666666667</x:v>
      </x:c>
      <x:c r="F6" s="28" t="n">
        <x:f>A6*86400/B6</x:f>
        <x:v>72000000</x:v>
      </x:c>
      <x:c r="G6" s="29" t="n">
        <x:f>F6*C6/1000000000</x:f>
        <x:v>33.84</x:v>
      </x:c>
      <x:c r="H6" s="29" t="n">
        <x:f>G6*'Premissas'!$B$7</x:f>
        <x:v>1015.2</x:v>
      </x:c>
      <x:c r="I6" s="29" t="n">
        <x:f>D6*C6*8/1000000</x:f>
        <x:v>3.1333333333333333</x:v>
      </x:c>
      <x:c r="K6" s="32" t="n">
        <x:f>A6</x:f>
        <x:v>50000</x:v>
      </x:c>
      <x:c r="L6" s="32" t="n">
        <x:f>D6</x:f>
        <x:v>833.3333333333334</x:v>
      </x:c>
      <x:c r="M6" s="32" t="n">
        <x:f>E6</x:f>
        <x:v>1666.6666666666667</x:v>
      </x:c>
    </x:row>
    <x:row r="7">
      <x:c r="A7" s="26" t="n">
        <x:v>100000</x:v>
      </x:c>
      <x:c r="B7" s="26" t="n">
        <x:f>'Premissas'!$B$4</x:f>
        <x:v>60</x:v>
      </x:c>
      <x:c r="C7" s="26" t="n">
        <x:f>'Premissas'!$B$5</x:f>
        <x:v>470</x:v>
      </x:c>
      <x:c r="D7" s="27" t="n">
        <x:f>A7/B7</x:f>
        <x:v>1666.6666666666667</x:v>
      </x:c>
      <x:c r="E7" s="27" t="n">
        <x:f>D7*'Premissas'!$B$6</x:f>
        <x:v>3333.3333333333335</x:v>
      </x:c>
      <x:c r="F7" s="28" t="n">
        <x:f>A7*86400/B7</x:f>
        <x:v>144000000</x:v>
      </x:c>
      <x:c r="G7" s="29" t="n">
        <x:f>F7*C7/1000000000</x:f>
        <x:v>67.68</x:v>
      </x:c>
      <x:c r="H7" s="29" t="n">
        <x:f>G7*'Premissas'!$B$7</x:f>
        <x:v>2030.4</x:v>
      </x:c>
      <x:c r="I7" s="29" t="n">
        <x:f>D7*C7*8/1000000</x:f>
        <x:v>6.266666666666667</x:v>
      </x:c>
      <x:c r="K7" s="32" t="n">
        <x:f>A7</x:f>
        <x:v>100000</x:v>
      </x:c>
      <x:c r="L7" s="32" t="n">
        <x:f>D7</x:f>
        <x:v>1666.6666666666667</x:v>
      </x:c>
      <x:c r="M7" s="32" t="n">
        <x:f>E7</x:f>
        <x:v>3333.3333333333335</x:v>
      </x:c>
    </x:row>
  </x:sheetData>
  <x:mergeCells>
    <x:mergeCell ref="A1:I1"/>
  </x:mergeCells>
  <x:pageMargins left="0.7" right="0.7" top="0.75" bottom="0.75" header="0.3" footer="0.3"/>
  <x:drawing xmlns:r="http://schemas.openxmlformats.org/officeDocument/2006/relationships" r:id="R3828fd46f951441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48" hidden="0" customWidth="1"/>
  </x:cols>
  <x:sheetData>
    <x:row r="1" ht="30" customHeight="1">
      <x:c r="A1" s="16" t="str">
        <x:v>Calculadora de capacidade</x:v>
      </x:c>
      <x:c r="B1" s="16"/>
      <x:c r="C1" s="16"/>
      <x:c r="D1" s="16"/>
    </x:row>
    <x:row r="3">
      <x:c r="A3" s="38" t="str">
        <x:v>Entrada</x:v>
      </x:c>
      <x:c r="B3" s="38" t="str">
        <x:v>Valor</x:v>
      </x:c>
      <x:c r="C3" s="38" t="str">
        <x:v>Unidade</x:v>
      </x:c>
      <x:c r="D3" s="38" t="str">
        <x:v>Uso</x:v>
      </x:c>
    </x:row>
    <x:row r="4">
      <x:c r="A4" s="35" t="str">
        <x:v>Dispositivos</x:v>
      </x:c>
      <x:c r="B4" s="39" t="n">
        <x:v>100000</x:v>
      </x:c>
      <x:c r="C4" s="35" t="str">
        <x:v>un</x:v>
      </x:c>
      <x:c r="D4" s="35" t="str">
        <x:v>Cenário a avaliar</x:v>
      </x:c>
    </x:row>
    <x:row r="5">
      <x:c r="A5" s="35" t="str">
        <x:v>Capacidade medida do consumidor</x:v>
      </x:c>
      <x:c r="B5" s="39" t="n">
        <x:v>5000</x:v>
      </x:c>
      <x:c r="C5" s="35" t="str">
        <x:v>msg/s</x:v>
      </x:c>
      <x:c r="D5" s="35" t="str">
        <x:v>Resultado de benchmark, não estimativa</x:v>
      </x:c>
    </x:row>
    <x:row r="6">
      <x:c r="A6" s="35" t="str">
        <x:v>Reserva operacional</x:v>
      </x:c>
      <x:c r="B6" s="40" t="n">
        <x:v>0.3</x:v>
      </x:c>
      <x:c r="C6" s="35" t="str">
        <x:v>%</x:v>
      </x:c>
      <x:c r="D6" s="35" t="str">
        <x:v>Margem acima do pico</x:v>
      </x:c>
    </x:row>
    <x:row r="7">
      <x:c r="A7" s="35" t="str">
        <x:v>Retenção</x:v>
      </x:c>
      <x:c r="B7" s="39" t="n">
        <x:v>30</x:v>
      </x:c>
      <x:c r="C7" s="35" t="str">
        <x:v>dias</x:v>
      </x:c>
      <x:c r="D7" s="35" t="str">
        <x:v>Histórico bruto</x:v>
      </x:c>
    </x:row>
    <x:row r="8">
      <x:c r="A8" s="35"/>
      <x:c r="B8" s="35"/>
      <x:c r="C8" s="35"/>
      <x:c r="D8" s="35"/>
    </x:row>
    <x:row r="9">
      <x:c r="A9" s="38" t="str">
        <x:v>Saída</x:v>
      </x:c>
      <x:c r="B9" s="38" t="str">
        <x:v>Resultado</x:v>
      </x:c>
      <x:c r="C9" s="38" t="str">
        <x:v>Unidade</x:v>
      </x:c>
      <x:c r="D9" s="38" t="str">
        <x:v>Interpretação</x:v>
      </x:c>
    </x:row>
    <x:row r="10">
      <x:c r="A10" s="35" t="str">
        <x:v>Taxa média</x:v>
      </x:c>
      <x:c r="B10" s="41" t="n">
        <x:f>B4/'Premissas'!$B$4</x:f>
        <x:v>1666.6666666666667</x:v>
      </x:c>
      <x:c r="C10" s="35" t="str">
        <x:v>msg/s</x:v>
      </x:c>
      <x:c r="D10" s="35" t="str">
        <x:v>Dispositivos / intervalo</x:v>
      </x:c>
    </x:row>
    <x:row r="11">
      <x:c r="A11" s="35" t="str">
        <x:v>Pico planejado</x:v>
      </x:c>
      <x:c r="B11" s="41" t="n">
        <x:f>B10*'Premissas'!$B$6</x:f>
        <x:v>3333.3333333333335</x:v>
      </x:c>
      <x:c r="C11" s="35" t="str">
        <x:v>msg/s</x:v>
      </x:c>
      <x:c r="D11" s="35" t="str">
        <x:v>Média x fator de pico</x:v>
      </x:c>
    </x:row>
    <x:row r="12">
      <x:c r="A12" s="35" t="str">
        <x:v>Capacidade necessária</x:v>
      </x:c>
      <x:c r="B12" s="41" t="n">
        <x:f>B11*(1+B6)</x:f>
        <x:v>4333.333333333334</x:v>
      </x:c>
      <x:c r="C12" s="35" t="str">
        <x:v>msg/s</x:v>
      </x:c>
      <x:c r="D12" s="35" t="str">
        <x:v>Pico com reserva</x:v>
      </x:c>
    </x:row>
    <x:row r="13">
      <x:c r="A13" s="35" t="str">
        <x:v>Headroom do consumidor</x:v>
      </x:c>
      <x:c r="B13" s="42" t="n">
        <x:f>B5/B12-1</x:f>
        <x:v>0.15384615384615374</x:v>
      </x:c>
      <x:c r="C13" s="35" t="str">
        <x:v>%</x:v>
      </x:c>
      <x:c r="D13" s="35" t="str">
        <x:v>Positivo = capacidade acima da necessidade</x:v>
      </x:c>
    </x:row>
    <x:row r="14">
      <x:c r="A14" s="35" t="str">
        <x:v>Armazenamento bruto</x:v>
      </x:c>
      <x:c r="B14" s="41" t="n">
        <x:f>B4*86400/'Premissas'!$B$4*'Premissas'!$B$5/1000000000*B7</x:f>
        <x:v>2030.4</x:v>
      </x:c>
      <x:c r="C14" s="35" t="str">
        <x:v>GB</x:v>
      </x:c>
      <x:c r="D14" s="35" t="str">
        <x:v>Payload sem overhead pelo período</x:v>
      </x:c>
    </x:row>
  </x:sheetData>
  <x:mergeCells>
    <x:mergeCell ref="A1:D1"/>
  </x:mergeCells>
  <x:pageMargins left="0.7" right="0.7" top="0.75" bottom="0.75" header="0.3" footer="0.3"/>
</x:worksheet>
</file>